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ed BOQ" sheetId="1" r:id="rId1"/>
    <sheet name="BOQ Summary" sheetId="2" r:id="rId2"/>
    <sheet name="Grand Summary" sheetId="3" r:id="rId3"/>
  </sheets>
  <calcPr calcId="124519" fullCalcOnLoad="1"/>
</workbook>
</file>

<file path=xl/sharedStrings.xml><?xml version="1.0" encoding="utf-8"?>
<sst xmlns="http://schemas.openxmlformats.org/spreadsheetml/2006/main" count="76" uniqueCount="53">
  <si>
    <t>DETAILED BILL OF QUANTITIES FOR UNITY PARK EXPANSION PHASE 2</t>
  </si>
  <si>
    <t>Item No</t>
  </si>
  <si>
    <t>Description</t>
  </si>
  <si>
    <t>Unit</t>
  </si>
  <si>
    <t>Quantity</t>
  </si>
  <si>
    <t>Rate</t>
  </si>
  <si>
    <t>Amount</t>
  </si>
  <si>
    <t>A</t>
  </si>
  <si>
    <t>SUB STRUCTURE</t>
  </si>
  <si>
    <t>1.1</t>
  </si>
  <si>
    <t>Excavation &amp; Earth Work</t>
  </si>
  <si>
    <t>m3</t>
  </si>
  <si>
    <t>1.2</t>
  </si>
  <si>
    <t>Masonry Work</t>
  </si>
  <si>
    <t>1.3</t>
  </si>
  <si>
    <t>Concrete Work (C25)</t>
  </si>
  <si>
    <t>TOTAL CARRIED TO SUMMARY (SUB STRUCTURE)</t>
  </si>
  <si>
    <t>B</t>
  </si>
  <si>
    <t>SUPER STRUCTURE</t>
  </si>
  <si>
    <t>2.1</t>
  </si>
  <si>
    <t>Concrete Work</t>
  </si>
  <si>
    <t>2.2</t>
  </si>
  <si>
    <t>Block Work</t>
  </si>
  <si>
    <t>m2</t>
  </si>
  <si>
    <t>2.3</t>
  </si>
  <si>
    <t>Carpentry &amp; Joinery</t>
  </si>
  <si>
    <t>pcs</t>
  </si>
  <si>
    <t>2.4</t>
  </si>
  <si>
    <t>Roofing Work</t>
  </si>
  <si>
    <t>2.5</t>
  </si>
  <si>
    <t>Metal Work</t>
  </si>
  <si>
    <t>kg</t>
  </si>
  <si>
    <t>2.6</t>
  </si>
  <si>
    <t>Glazing Work</t>
  </si>
  <si>
    <t>2.7</t>
  </si>
  <si>
    <t>Flooring Work</t>
  </si>
  <si>
    <t>2.8</t>
  </si>
  <si>
    <t>Finishing Work</t>
  </si>
  <si>
    <t>2.9</t>
  </si>
  <si>
    <t>Electrical Installation</t>
  </si>
  <si>
    <t>LS</t>
  </si>
  <si>
    <t>TOTAL CARRIED TO SUMMARY (SUPER STRUCTURE)</t>
  </si>
  <si>
    <t>SUMMARY OF BILL OF QUANTITIES FOR UNITY PARK EXPANSION PHASE 2</t>
  </si>
  <si>
    <t>Sum</t>
  </si>
  <si>
    <t>Total (A+B)</t>
  </si>
  <si>
    <t>VAT (15%)</t>
  </si>
  <si>
    <t>TOTAL WITH VAT</t>
  </si>
  <si>
    <t>GRAND SUMMARY FOR UNITY PARK EXPANSION PHASE 2 PROJECT</t>
  </si>
  <si>
    <t>Amount (Birr)</t>
  </si>
  <si>
    <t>1</t>
  </si>
  <si>
    <t>Unity Park Expansion Phase 2 (Build Project)</t>
  </si>
  <si>
    <t>Total without VAT</t>
  </si>
  <si>
    <t>TOTAL WITH VAT (15%)</t>
  </si>
</sst>
</file>

<file path=xl/styles.xml><?xml version="1.0" encoding="utf-8"?>
<styleSheet xmlns="http://schemas.openxmlformats.org/spreadsheetml/2006/main">
  <numFmts count="1">
    <numFmt numFmtId="164" formatCode="#,##0.00"/>
  </numFmts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2" fillId="0" borderId="0" xfId="0" applyFont="1"/>
    <xf numFmtId="0" fontId="0" fillId="0" borderId="1" xfId="0" applyBorder="1"/>
    <xf numFmtId="164" fontId="0" fillId="0" borderId="1" xfId="0" applyNumberFormat="1" applyBorder="1"/>
    <xf numFmtId="164" fontId="2" fillId="3" borderId="1" xfId="0" applyNumberFormat="1" applyFont="1" applyFill="1" applyBorder="1"/>
    <xf numFmtId="0" fontId="2" fillId="4" borderId="0" xfId="0" applyFont="1" applyFill="1"/>
    <xf numFmtId="164" fontId="3" fillId="5" borderId="1" xfId="0" applyNumberFormat="1" applyFont="1" applyFill="1" applyBorder="1"/>
    <xf numFmtId="0" fontId="2" fillId="6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"/>
  <sheetViews>
    <sheetView tabSelected="1" workbookViewId="0"/>
  </sheetViews>
  <sheetFormatPr defaultRowHeight="15"/>
  <cols>
    <col min="2" max="2" width="60.7109375" customWidth="1"/>
    <col min="3" max="6" width="15.7109375" customWidth="1"/>
  </cols>
  <sheetData>
    <row r="1" spans="1:6">
      <c r="A1" s="1" t="s">
        <v>0</v>
      </c>
      <c r="B1" s="1"/>
      <c r="C1" s="1"/>
      <c r="D1" s="1"/>
      <c r="E1" s="1"/>
      <c r="F1" s="1"/>
    </row>
    <row r="3" spans="1:6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>
      <c r="A4" s="3" t="s">
        <v>7</v>
      </c>
      <c r="B4" s="3" t="s">
        <v>8</v>
      </c>
    </row>
    <row r="5" spans="1:6">
      <c r="A5" s="4" t="s">
        <v>9</v>
      </c>
      <c r="B5" s="4" t="s">
        <v>10</v>
      </c>
      <c r="C5" s="4" t="s">
        <v>11</v>
      </c>
      <c r="D5" s="4">
        <v>500</v>
      </c>
      <c r="E5" s="5">
        <v>150</v>
      </c>
      <c r="F5" s="5">
        <f>D5*E5</f>
        <v>0</v>
      </c>
    </row>
    <row r="6" spans="1:6">
      <c r="A6" s="4" t="s">
        <v>12</v>
      </c>
      <c r="B6" s="4" t="s">
        <v>13</v>
      </c>
      <c r="C6" s="4" t="s">
        <v>11</v>
      </c>
      <c r="D6" s="4">
        <v>200</v>
      </c>
      <c r="E6" s="5">
        <v>1200</v>
      </c>
      <c r="F6" s="5">
        <f>D6*E6</f>
        <v>0</v>
      </c>
    </row>
    <row r="7" spans="1:6">
      <c r="A7" s="4" t="s">
        <v>14</v>
      </c>
      <c r="B7" s="4" t="s">
        <v>15</v>
      </c>
      <c r="C7" s="4" t="s">
        <v>11</v>
      </c>
      <c r="D7" s="4">
        <v>150</v>
      </c>
      <c r="E7" s="5">
        <v>4500</v>
      </c>
      <c r="F7" s="5">
        <f>D7*E7</f>
        <v>0</v>
      </c>
    </row>
    <row r="8" spans="1:6">
      <c r="B8" s="6" t="s">
        <v>16</v>
      </c>
      <c r="F8" s="6">
        <f>SUM(F5:F7)</f>
        <v>0</v>
      </c>
    </row>
    <row r="10" spans="1:6">
      <c r="A10" s="3" t="s">
        <v>17</v>
      </c>
      <c r="B10" s="3" t="s">
        <v>18</v>
      </c>
    </row>
    <row r="11" spans="1:6">
      <c r="A11" s="4" t="s">
        <v>19</v>
      </c>
      <c r="B11" s="4" t="s">
        <v>20</v>
      </c>
      <c r="C11" s="4" t="s">
        <v>11</v>
      </c>
      <c r="D11" s="4">
        <v>300</v>
      </c>
      <c r="E11" s="5">
        <v>4800</v>
      </c>
      <c r="F11" s="5">
        <f>D11*E11</f>
        <v>0</v>
      </c>
    </row>
    <row r="12" spans="1:6">
      <c r="A12" s="4" t="s">
        <v>21</v>
      </c>
      <c r="B12" s="4" t="s">
        <v>22</v>
      </c>
      <c r="C12" s="4" t="s">
        <v>23</v>
      </c>
      <c r="D12" s="4">
        <v>1200</v>
      </c>
      <c r="E12" s="5">
        <v>350</v>
      </c>
      <c r="F12" s="5">
        <f>D12*E12</f>
        <v>0</v>
      </c>
    </row>
    <row r="13" spans="1:6">
      <c r="A13" s="4" t="s">
        <v>24</v>
      </c>
      <c r="B13" s="4" t="s">
        <v>25</v>
      </c>
      <c r="C13" s="4" t="s">
        <v>26</v>
      </c>
      <c r="D13" s="4">
        <v>50</v>
      </c>
      <c r="E13" s="5">
        <v>2500</v>
      </c>
      <c r="F13" s="5">
        <f>D13*E13</f>
        <v>0</v>
      </c>
    </row>
    <row r="14" spans="1:6">
      <c r="A14" s="4" t="s">
        <v>27</v>
      </c>
      <c r="B14" s="4" t="s">
        <v>28</v>
      </c>
      <c r="C14" s="4" t="s">
        <v>23</v>
      </c>
      <c r="D14" s="4">
        <v>800</v>
      </c>
      <c r="E14" s="5">
        <v>600</v>
      </c>
      <c r="F14" s="5">
        <f>D14*E14</f>
        <v>0</v>
      </c>
    </row>
    <row r="15" spans="1:6">
      <c r="A15" s="4" t="s">
        <v>29</v>
      </c>
      <c r="B15" s="4" t="s">
        <v>30</v>
      </c>
      <c r="C15" s="4" t="s">
        <v>31</v>
      </c>
      <c r="D15" s="4">
        <v>5000</v>
      </c>
      <c r="E15" s="5">
        <v>95</v>
      </c>
      <c r="F15" s="5">
        <f>D15*E15</f>
        <v>0</v>
      </c>
    </row>
    <row r="16" spans="1:6">
      <c r="A16" s="4" t="s">
        <v>32</v>
      </c>
      <c r="B16" s="4" t="s">
        <v>33</v>
      </c>
      <c r="C16" s="4" t="s">
        <v>23</v>
      </c>
      <c r="D16" s="4">
        <v>120</v>
      </c>
      <c r="E16" s="5">
        <v>1800</v>
      </c>
      <c r="F16" s="5">
        <f>D16*E16</f>
        <v>0</v>
      </c>
    </row>
    <row r="17" spans="1:6">
      <c r="A17" s="4" t="s">
        <v>34</v>
      </c>
      <c r="B17" s="4" t="s">
        <v>35</v>
      </c>
      <c r="C17" s="4" t="s">
        <v>23</v>
      </c>
      <c r="D17" s="4">
        <v>900</v>
      </c>
      <c r="E17" s="5">
        <v>450</v>
      </c>
      <c r="F17" s="5">
        <f>D17*E17</f>
        <v>0</v>
      </c>
    </row>
    <row r="18" spans="1:6">
      <c r="A18" s="4" t="s">
        <v>36</v>
      </c>
      <c r="B18" s="4" t="s">
        <v>37</v>
      </c>
      <c r="C18" s="4" t="s">
        <v>23</v>
      </c>
      <c r="D18" s="4">
        <v>2000</v>
      </c>
      <c r="E18" s="5">
        <v>250</v>
      </c>
      <c r="F18" s="5">
        <f>D18*E18</f>
        <v>0</v>
      </c>
    </row>
    <row r="19" spans="1:6">
      <c r="A19" s="4" t="s">
        <v>38</v>
      </c>
      <c r="B19" s="4" t="s">
        <v>39</v>
      </c>
      <c r="C19" s="4" t="s">
        <v>40</v>
      </c>
      <c r="D19" s="4">
        <v>1</v>
      </c>
      <c r="E19" s="5">
        <v>150000</v>
      </c>
      <c r="F19" s="5">
        <f>D19*E19</f>
        <v>0</v>
      </c>
    </row>
    <row r="20" spans="1:6">
      <c r="B20" s="6" t="s">
        <v>41</v>
      </c>
      <c r="F20" s="6">
        <f>SUM(F11:F19)</f>
        <v>0</v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cols>
    <col min="2" max="2" width="50.7109375" customWidth="1"/>
    <col min="3" max="6" width="15.7109375" customWidth="1"/>
  </cols>
  <sheetData>
    <row r="1" spans="1:6">
      <c r="A1" s="1" t="s">
        <v>42</v>
      </c>
      <c r="B1" s="1"/>
      <c r="C1" s="1"/>
      <c r="D1" s="1"/>
      <c r="E1" s="1"/>
      <c r="F1" s="1"/>
    </row>
    <row r="3" spans="1:6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>
      <c r="A4" s="4" t="s">
        <v>7</v>
      </c>
      <c r="B4" s="4" t="s">
        <v>8</v>
      </c>
      <c r="C4" s="4" t="s">
        <v>43</v>
      </c>
      <c r="F4" s="5">
        <f>'Detailed BOQ'!F8</f>
        <v>0</v>
      </c>
    </row>
    <row r="5" spans="1:6">
      <c r="A5" s="4" t="s">
        <v>17</v>
      </c>
      <c r="B5" s="4" t="s">
        <v>18</v>
      </c>
      <c r="C5" s="4" t="s">
        <v>43</v>
      </c>
      <c r="F5" s="5">
        <f>'Detailed BOQ'!F20</f>
        <v>0</v>
      </c>
    </row>
    <row r="7" spans="1:6">
      <c r="E7" s="3" t="s">
        <v>44</v>
      </c>
      <c r="F7" s="6">
        <f>F4+F5</f>
        <v>0</v>
      </c>
    </row>
    <row r="8" spans="1:6">
      <c r="E8" s="3" t="s">
        <v>45</v>
      </c>
      <c r="F8" s="6">
        <f>F7*0.15</f>
        <v>0</v>
      </c>
    </row>
    <row r="9" spans="1:6">
      <c r="E9" s="7" t="s">
        <v>46</v>
      </c>
      <c r="F9" s="8">
        <f>F7+F8</f>
        <v>0</v>
      </c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FormatPr defaultRowHeight="15"/>
  <cols>
    <col min="2" max="2" width="60.7109375" customWidth="1"/>
    <col min="4" max="4" width="20.7109375" customWidth="1"/>
  </cols>
  <sheetData>
    <row r="1" spans="1:4">
      <c r="A1" s="1" t="s">
        <v>47</v>
      </c>
      <c r="B1" s="1"/>
      <c r="C1" s="1"/>
      <c r="D1" s="1"/>
    </row>
    <row r="3" spans="1:4">
      <c r="A3" s="2" t="s">
        <v>1</v>
      </c>
      <c r="B3" s="2" t="s">
        <v>2</v>
      </c>
      <c r="C3" s="2" t="s">
        <v>3</v>
      </c>
      <c r="D3" s="2" t="s">
        <v>48</v>
      </c>
    </row>
    <row r="4" spans="1:4">
      <c r="A4" s="4" t="s">
        <v>49</v>
      </c>
      <c r="B4" s="4" t="s">
        <v>50</v>
      </c>
      <c r="C4" s="4" t="s">
        <v>40</v>
      </c>
      <c r="D4" s="5">
        <f>'BOQ Summary'!F7</f>
        <v>0</v>
      </c>
    </row>
    <row r="6" spans="1:4">
      <c r="B6" s="3" t="s">
        <v>51</v>
      </c>
      <c r="D6" s="5">
        <f>'BOQ Summary'!F7</f>
        <v>0</v>
      </c>
    </row>
    <row r="7" spans="1:4">
      <c r="B7" s="3" t="s">
        <v>45</v>
      </c>
      <c r="D7" s="5">
        <f>'BOQ Summary'!F8</f>
        <v>0</v>
      </c>
    </row>
    <row r="8" spans="1:4">
      <c r="B8" s="9" t="s">
        <v>52</v>
      </c>
      <c r="D8" s="8">
        <f>'BOQ Summary'!F9</f>
        <v>0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Detailed BOQ</vt:lpstr>
      <vt:lpstr>BOQ Summary</vt:lpstr>
      <vt:lpstr>Grand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2026-01-28T09:09:32Z</dcterms:created>
  <dcterms:modified xsi:type="dcterms:W3CDTF">2026-01-28T09:09:32Z</dcterms:modified>
</cp:coreProperties>
</file>